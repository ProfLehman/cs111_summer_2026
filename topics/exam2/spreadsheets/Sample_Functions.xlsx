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9F563C03-F0F8-4084-A4E7-297B555E2BC5}" xr6:coauthVersionLast="45" xr6:coauthVersionMax="45" xr10:uidLastSave="{00000000-0000-0000-0000-000000000000}"/>
  <bookViews>
    <workbookView xWindow="14980" yWindow="980" windowWidth="14400" windowHeight="7440" tabRatio="858"/>
  </bookViews>
  <sheets>
    <sheet name="Start Here" sheetId="1" r:id="rId1"/>
    <sheet name="Date &amp; Time" sheetId="3" r:id="rId2"/>
    <sheet name="Math" sheetId="5" r:id="rId3"/>
    <sheet name="Text" sheetId="4" r:id="rId4"/>
    <sheet name="IF" sheetId="6" r:id="rId5"/>
    <sheet name="Payment" sheetId="2" r:id="rId6"/>
    <sheet name="function wizard practic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3" l="1"/>
  <c r="C13" i="3" s="1"/>
  <c r="C9" i="3"/>
  <c r="B12" i="7"/>
  <c r="B8" i="7"/>
  <c r="E10" i="6"/>
  <c r="E9" i="6"/>
  <c r="E8" i="6"/>
  <c r="E7" i="6"/>
  <c r="E6" i="6"/>
  <c r="C11" i="5"/>
  <c r="C9" i="5"/>
  <c r="C7" i="5"/>
  <c r="E8" i="2"/>
  <c r="C14" i="4"/>
  <c r="C12" i="4"/>
  <c r="C10" i="4"/>
  <c r="C8" i="4"/>
  <c r="C6" i="4"/>
  <c r="C10" i="3" l="1"/>
  <c r="C12" i="3"/>
  <c r="C8" i="3"/>
</calcChain>
</file>

<file path=xl/sharedStrings.xml><?xml version="1.0" encoding="utf-8"?>
<sst xmlns="http://schemas.openxmlformats.org/spreadsheetml/2006/main" count="77" uniqueCount="67">
  <si>
    <t>Functions</t>
  </si>
  <si>
    <t>The Excel spreadsheet contains many functions which automate complicated tasks</t>
  </si>
  <si>
    <t>To learn more about each function, you can read about them in the help system.</t>
  </si>
  <si>
    <t>interest rate</t>
  </si>
  <si>
    <t>years</t>
  </si>
  <si>
    <t>amount</t>
  </si>
  <si>
    <t>payment</t>
  </si>
  <si>
    <t>Payment Function</t>
  </si>
  <si>
    <t>PMT(rate,nper,pv,fv,type)</t>
  </si>
  <si>
    <t>rate</t>
  </si>
  <si>
    <t>is the interest rate for the loan.</t>
  </si>
  <si>
    <t>Nper</t>
  </si>
  <si>
    <t>Pv</t>
  </si>
  <si>
    <t>Fv</t>
  </si>
  <si>
    <t>type</t>
  </si>
  <si>
    <t xml:space="preserve"> is the number 0 (zero) or 1 and indicates when payments are due.</t>
  </si>
  <si>
    <t>is the future value, or a cash balance you want to attain after the last payment is made. If fv is omitted, it is assumed to be 0 (zero), that is, the future value of a loan is 0.</t>
  </si>
  <si>
    <t>is the present value, or the total amount that a series of future payments is worth now; also known as the principal.</t>
  </si>
  <si>
    <t>is the total number of payments for the loan.</t>
  </si>
  <si>
    <t>argument</t>
  </si>
  <si>
    <t>=Now()</t>
  </si>
  <si>
    <t>Function</t>
  </si>
  <si>
    <t>=MONTH( C6 )</t>
  </si>
  <si>
    <t>=DAY( c6 )</t>
  </si>
  <si>
    <t>=YEAR(C6)</t>
  </si>
  <si>
    <t>Result</t>
  </si>
  <si>
    <t>=HOUR( C6 )</t>
  </si>
  <si>
    <t>=MINUTE(c6)</t>
  </si>
  <si>
    <t>Purpose</t>
  </si>
  <si>
    <t>current date and time</t>
  </si>
  <si>
    <t>current month</t>
  </si>
  <si>
    <t>current day</t>
  </si>
  <si>
    <t>current year</t>
  </si>
  <si>
    <t>current hour</t>
  </si>
  <si>
    <t>current minute</t>
  </si>
  <si>
    <t>Date &amp; Time Functions</t>
  </si>
  <si>
    <t>Math Functions</t>
  </si>
  <si>
    <t>PI</t>
  </si>
  <si>
    <t>=PI()</t>
  </si>
  <si>
    <t>=Power( n, r )</t>
  </si>
  <si>
    <t>raises n to the r power</t>
  </si>
  <si>
    <t>=FACT( n )</t>
  </si>
  <si>
    <t>returns n factorial</t>
  </si>
  <si>
    <t>Text Functions</t>
  </si>
  <si>
    <t>Text</t>
  </si>
  <si>
    <t>convert to upper case</t>
  </si>
  <si>
    <t>convert to lower case</t>
  </si>
  <si>
    <t>convert to proper case</t>
  </si>
  <si>
    <t>=lower (d3)</t>
  </si>
  <si>
    <t>=Upper ( d3 )</t>
  </si>
  <si>
    <t>=proper ( d3)</t>
  </si>
  <si>
    <t>=LEFT(D3,7)</t>
  </si>
  <si>
    <t>extract 7 characters from left</t>
  </si>
  <si>
    <t>=RIGHT(D3,7)</t>
  </si>
  <si>
    <t>extract 7 characters from right</t>
  </si>
  <si>
    <t>IF Functions</t>
  </si>
  <si>
    <t>Grade</t>
  </si>
  <si>
    <t>=IF (D6 &gt;= 70, "Pass", "Fail")</t>
  </si>
  <si>
    <t>=IF( condition, TRUE, FALSE )</t>
  </si>
  <si>
    <t>Note:  press &lt;F9&gt; to update values</t>
  </si>
  <si>
    <t>A dialog box will appear listing all of the functions available.</t>
  </si>
  <si>
    <t xml:space="preserve">To insert a function, choose Function from the Insert menu.  </t>
  </si>
  <si>
    <t>Rate</t>
  </si>
  <si>
    <t>nper</t>
  </si>
  <si>
    <t>pmt</t>
  </si>
  <si>
    <t>huntington college</t>
  </si>
  <si>
    <t>Huntington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</si>
</sst>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70" formatCode="0.00000000"/>
  </numFmts>
  <fonts count="6" x14ac:knownFonts="1">
    <font>
      <sz val="10"/>
      <name val="Times New Roman"/>
    </font>
    <font>
      <sz val="10"/>
      <name val="Times New Roman"/>
    </font>
    <font>
      <sz val="18"/>
      <color indexed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1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4" borderId="7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/>
    <xf numFmtId="0" fontId="4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Border="1"/>
    <xf numFmtId="0" fontId="4" fillId="3" borderId="5" xfId="0" applyFont="1" applyFill="1" applyBorder="1" applyAlignment="1">
      <alignment horizontal="right"/>
    </xf>
    <xf numFmtId="8" fontId="0" fillId="3" borderId="6" xfId="0" applyNumberFormat="1" applyFill="1" applyBorder="1"/>
    <xf numFmtId="0" fontId="4" fillId="5" borderId="7" xfId="0" applyFont="1" applyFill="1" applyBorder="1" applyAlignment="1">
      <alignment horizontal="right"/>
    </xf>
    <xf numFmtId="10" fontId="0" fillId="5" borderId="2" xfId="0" applyNumberFormat="1" applyFill="1" applyBorder="1"/>
    <xf numFmtId="0" fontId="4" fillId="5" borderId="8" xfId="0" applyFont="1" applyFill="1" applyBorder="1" applyAlignment="1">
      <alignment horizontal="right"/>
    </xf>
    <xf numFmtId="0" fontId="0" fillId="5" borderId="9" xfId="0" applyFill="1" applyBorder="1"/>
    <xf numFmtId="44" fontId="0" fillId="5" borderId="9" xfId="1" applyFont="1" applyFill="1" applyBorder="1"/>
    <xf numFmtId="22" fontId="0" fillId="3" borderId="6" xfId="0" applyNumberFormat="1" applyFill="1" applyBorder="1"/>
    <xf numFmtId="0" fontId="0" fillId="0" borderId="0" xfId="0" quotePrefix="1"/>
    <xf numFmtId="0" fontId="0" fillId="0" borderId="7" xfId="0" quotePrefix="1" applyBorder="1"/>
    <xf numFmtId="0" fontId="0" fillId="0" borderId="10" xfId="0" applyBorder="1"/>
    <xf numFmtId="0" fontId="0" fillId="0" borderId="4" xfId="0" quotePrefix="1" applyBorder="1"/>
    <xf numFmtId="0" fontId="0" fillId="5" borderId="2" xfId="0" applyFill="1" applyBorder="1"/>
    <xf numFmtId="0" fontId="0" fillId="0" borderId="8" xfId="0" quotePrefix="1" applyBorder="1"/>
    <xf numFmtId="0" fontId="0" fillId="5" borderId="3" xfId="0" applyFill="1" applyBorder="1"/>
    <xf numFmtId="0" fontId="0" fillId="0" borderId="5" xfId="0" quotePrefix="1" applyBorder="1"/>
    <xf numFmtId="0" fontId="0" fillId="0" borderId="11" xfId="0" applyBorder="1"/>
    <xf numFmtId="170" fontId="0" fillId="3" borderId="6" xfId="0" applyNumberFormat="1" applyFill="1" applyBorder="1"/>
    <xf numFmtId="0" fontId="0" fillId="5" borderId="6" xfId="0" applyFill="1" applyBorder="1"/>
    <xf numFmtId="0" fontId="0" fillId="2" borderId="6" xfId="0" applyFill="1" applyBorder="1"/>
    <xf numFmtId="0" fontId="4" fillId="0" borderId="0" xfId="0" applyFont="1" applyFill="1"/>
    <xf numFmtId="0" fontId="5" fillId="6" borderId="0" xfId="0" applyFont="1" applyFill="1"/>
    <xf numFmtId="22" fontId="0" fillId="0" borderId="9" xfId="0" applyNumberFormat="1" applyFill="1" applyBorder="1"/>
    <xf numFmtId="0" fontId="4" fillId="0" borderId="7" xfId="0" applyFont="1" applyBorder="1"/>
    <xf numFmtId="0" fontId="4" fillId="0" borderId="2" xfId="0" applyFont="1" applyBorder="1"/>
    <xf numFmtId="0" fontId="0" fillId="0" borderId="8" xfId="0" applyBorder="1"/>
    <xf numFmtId="0" fontId="0" fillId="3" borderId="9" xfId="0" applyFill="1" applyBorder="1"/>
    <xf numFmtId="0" fontId="0" fillId="3" borderId="3" xfId="0" applyFill="1" applyBorder="1"/>
    <xf numFmtId="8" fontId="0" fillId="0" borderId="0" xfId="0" applyNumberFormat="1"/>
    <xf numFmtId="0" fontId="3" fillId="5" borderId="5" xfId="0" applyFont="1" applyFill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12" sqref="A12"/>
    </sheetView>
  </sheetViews>
  <sheetFormatPr defaultRowHeight="12.75" x14ac:dyDescent="0.2"/>
  <cols>
    <col min="1" max="1" width="55" customWidth="1"/>
  </cols>
  <sheetData>
    <row r="1" spans="1:2" x14ac:dyDescent="0.2">
      <c r="A1" s="48" t="s">
        <v>0</v>
      </c>
      <c r="B1" s="49"/>
    </row>
    <row r="2" spans="1:2" ht="21" customHeight="1" x14ac:dyDescent="0.2">
      <c r="A2" s="50"/>
      <c r="B2" s="51"/>
    </row>
    <row r="3" spans="1:2" x14ac:dyDescent="0.2">
      <c r="A3" s="2"/>
      <c r="B3" s="2"/>
    </row>
    <row r="4" spans="1:2" ht="29.25" customHeight="1" x14ac:dyDescent="0.2">
      <c r="A4" s="46" t="s">
        <v>1</v>
      </c>
      <c r="B4" s="47"/>
    </row>
    <row r="5" spans="1:2" ht="12" customHeight="1" x14ac:dyDescent="0.2">
      <c r="A5" s="6"/>
      <c r="B5" s="6"/>
    </row>
    <row r="6" spans="1:2" ht="29.25" customHeight="1" x14ac:dyDescent="0.2">
      <c r="A6" s="7" t="s">
        <v>2</v>
      </c>
      <c r="B6" s="8"/>
    </row>
    <row r="7" spans="1:2" x14ac:dyDescent="0.2">
      <c r="A7" s="2"/>
      <c r="B7" s="2"/>
    </row>
    <row r="8" spans="1:2" x14ac:dyDescent="0.2">
      <c r="A8" s="9" t="s">
        <v>61</v>
      </c>
      <c r="B8" s="10"/>
    </row>
    <row r="9" spans="1:2" x14ac:dyDescent="0.2">
      <c r="A9" s="11" t="s">
        <v>60</v>
      </c>
      <c r="B9" s="12"/>
    </row>
  </sheetData>
  <mergeCells count="2">
    <mergeCell ref="A4:B4"/>
    <mergeCell ref="A1:B2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8" sqref="A8"/>
    </sheetView>
  </sheetViews>
  <sheetFormatPr defaultRowHeight="12.75" x14ac:dyDescent="0.2"/>
  <cols>
    <col min="1" max="1" width="18.6640625" customWidth="1"/>
    <col min="2" max="2" width="21.33203125" customWidth="1"/>
    <col min="3" max="3" width="15.33203125" customWidth="1"/>
  </cols>
  <sheetData>
    <row r="1" spans="1:3" x14ac:dyDescent="0.2">
      <c r="A1" s="48" t="s">
        <v>35</v>
      </c>
      <c r="B1" s="49"/>
    </row>
    <row r="2" spans="1:3" x14ac:dyDescent="0.2">
      <c r="A2" s="50"/>
      <c r="B2" s="51"/>
    </row>
    <row r="4" spans="1:3" x14ac:dyDescent="0.2">
      <c r="A4" s="13" t="s">
        <v>21</v>
      </c>
      <c r="B4" s="13" t="s">
        <v>28</v>
      </c>
      <c r="C4" s="13" t="s">
        <v>25</v>
      </c>
    </row>
    <row r="6" spans="1:3" x14ac:dyDescent="0.2">
      <c r="A6" s="32" t="s">
        <v>20</v>
      </c>
      <c r="B6" s="33" t="s">
        <v>29</v>
      </c>
      <c r="C6" s="24">
        <f ca="1">NOW()</f>
        <v>43893.540734027774</v>
      </c>
    </row>
    <row r="8" spans="1:3" x14ac:dyDescent="0.2">
      <c r="A8" s="26" t="s">
        <v>22</v>
      </c>
      <c r="B8" s="27" t="s">
        <v>30</v>
      </c>
      <c r="C8" s="29">
        <f ca="1">MONTH(C6)</f>
        <v>3</v>
      </c>
    </row>
    <row r="9" spans="1:3" x14ac:dyDescent="0.2">
      <c r="A9" s="30" t="s">
        <v>23</v>
      </c>
      <c r="B9" s="16" t="s">
        <v>31</v>
      </c>
      <c r="C9" s="22">
        <f ca="1">DAY( C6 )</f>
        <v>3</v>
      </c>
    </row>
    <row r="10" spans="1:3" x14ac:dyDescent="0.2">
      <c r="A10" s="28" t="s">
        <v>24</v>
      </c>
      <c r="B10" s="2" t="s">
        <v>32</v>
      </c>
      <c r="C10" s="31">
        <f ca="1">YEAR(C6)</f>
        <v>2020</v>
      </c>
    </row>
    <row r="12" spans="1:3" x14ac:dyDescent="0.2">
      <c r="A12" s="26" t="s">
        <v>26</v>
      </c>
      <c r="B12" s="27" t="s">
        <v>33</v>
      </c>
      <c r="C12" s="3">
        <f ca="1">HOUR( C6 )</f>
        <v>12</v>
      </c>
    </row>
    <row r="13" spans="1:3" x14ac:dyDescent="0.2">
      <c r="A13" s="28" t="s">
        <v>27</v>
      </c>
      <c r="B13" s="2" t="s">
        <v>34</v>
      </c>
      <c r="C13" s="4">
        <f ca="1">MINUTE(C6)</f>
        <v>58</v>
      </c>
    </row>
    <row r="15" spans="1:3" x14ac:dyDescent="0.2">
      <c r="A15" s="13" t="s">
        <v>59</v>
      </c>
    </row>
  </sheetData>
  <mergeCells count="1">
    <mergeCell ref="A1:B2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1" sqref="C11"/>
    </sheetView>
  </sheetViews>
  <sheetFormatPr defaultRowHeight="12.75" x14ac:dyDescent="0.2"/>
  <cols>
    <col min="1" max="1" width="19" customWidth="1"/>
    <col min="2" max="2" width="23.6640625" customWidth="1"/>
    <col min="3" max="3" width="11.83203125" customWidth="1"/>
  </cols>
  <sheetData>
    <row r="1" spans="1:3" x14ac:dyDescent="0.2">
      <c r="A1" s="48" t="s">
        <v>36</v>
      </c>
      <c r="B1" s="49"/>
    </row>
    <row r="2" spans="1:3" x14ac:dyDescent="0.2">
      <c r="A2" s="50"/>
      <c r="B2" s="51"/>
    </row>
    <row r="5" spans="1:3" x14ac:dyDescent="0.2">
      <c r="A5" s="13" t="s">
        <v>21</v>
      </c>
      <c r="B5" s="13" t="s">
        <v>28</v>
      </c>
      <c r="C5" s="13" t="s">
        <v>25</v>
      </c>
    </row>
    <row r="7" spans="1:3" x14ac:dyDescent="0.2">
      <c r="A7" s="32" t="s">
        <v>38</v>
      </c>
      <c r="B7" s="33" t="s">
        <v>37</v>
      </c>
      <c r="C7" s="34">
        <f>PI()</f>
        <v>3.1415926535897931</v>
      </c>
    </row>
    <row r="9" spans="1:3" x14ac:dyDescent="0.2">
      <c r="A9" s="32" t="s">
        <v>39</v>
      </c>
      <c r="B9" s="33" t="s">
        <v>40</v>
      </c>
      <c r="C9" s="35">
        <f>POWER( 2, 4 )</f>
        <v>16</v>
      </c>
    </row>
    <row r="11" spans="1:3" x14ac:dyDescent="0.2">
      <c r="A11" s="26" t="s">
        <v>41</v>
      </c>
      <c r="B11" s="27" t="s">
        <v>42</v>
      </c>
      <c r="C11" s="3">
        <f>FACT(5)</f>
        <v>120</v>
      </c>
    </row>
  </sheetData>
  <mergeCells count="1">
    <mergeCell ref="A1:B2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3" sqref="D3"/>
    </sheetView>
  </sheetViews>
  <sheetFormatPr defaultRowHeight="12.75" x14ac:dyDescent="0.2"/>
  <cols>
    <col min="1" max="1" width="13.5" customWidth="1"/>
    <col min="2" max="2" width="28.1640625" customWidth="1"/>
    <col min="3" max="3" width="26.33203125" customWidth="1"/>
    <col min="4" max="4" width="20.83203125" bestFit="1" customWidth="1"/>
    <col min="5" max="5" width="16" customWidth="1"/>
  </cols>
  <sheetData>
    <row r="1" spans="1:4" x14ac:dyDescent="0.2">
      <c r="A1" s="48" t="s">
        <v>43</v>
      </c>
      <c r="B1" s="49"/>
    </row>
    <row r="2" spans="1:4" x14ac:dyDescent="0.2">
      <c r="A2" s="50"/>
      <c r="B2" s="51"/>
      <c r="D2" s="37" t="s">
        <v>44</v>
      </c>
    </row>
    <row r="3" spans="1:4" ht="15" customHeight="1" x14ac:dyDescent="0.25">
      <c r="D3" s="38" t="s">
        <v>66</v>
      </c>
    </row>
    <row r="4" spans="1:4" x14ac:dyDescent="0.2">
      <c r="A4" s="13" t="s">
        <v>21</v>
      </c>
      <c r="B4" s="13" t="s">
        <v>28</v>
      </c>
      <c r="C4" s="13" t="s">
        <v>25</v>
      </c>
    </row>
    <row r="6" spans="1:4" x14ac:dyDescent="0.2">
      <c r="A6" s="32" t="s">
        <v>49</v>
      </c>
      <c r="B6" s="33" t="s">
        <v>45</v>
      </c>
      <c r="C6" s="24" t="str">
        <f>UPPER(D3)</f>
        <v>HUNTINGTON COLLEGE</v>
      </c>
    </row>
    <row r="8" spans="1:4" x14ac:dyDescent="0.2">
      <c r="A8" s="32" t="s">
        <v>48</v>
      </c>
      <c r="B8" s="33" t="s">
        <v>46</v>
      </c>
      <c r="C8" s="35" t="str">
        <f>LOWER(D3)</f>
        <v>huntington college</v>
      </c>
    </row>
    <row r="10" spans="1:4" x14ac:dyDescent="0.2">
      <c r="A10" s="32" t="s">
        <v>50</v>
      </c>
      <c r="B10" s="33" t="s">
        <v>47</v>
      </c>
      <c r="C10" s="36" t="str">
        <f>PROPER(D3)</f>
        <v>Huntington College</v>
      </c>
    </row>
    <row r="12" spans="1:4" x14ac:dyDescent="0.2">
      <c r="A12" s="32" t="s">
        <v>51</v>
      </c>
      <c r="B12" s="33" t="s">
        <v>52</v>
      </c>
      <c r="C12" s="24" t="str">
        <f>LEFT(D3,7)</f>
        <v>Hunting</v>
      </c>
    </row>
    <row r="13" spans="1:4" x14ac:dyDescent="0.2">
      <c r="A13" s="25"/>
      <c r="C13" s="39"/>
    </row>
    <row r="14" spans="1:4" x14ac:dyDescent="0.2">
      <c r="A14" s="32" t="s">
        <v>53</v>
      </c>
      <c r="B14" s="33" t="s">
        <v>54</v>
      </c>
      <c r="C14" s="35" t="str">
        <f>RIGHT(D3,7)</f>
        <v>College</v>
      </c>
    </row>
  </sheetData>
  <mergeCells count="1">
    <mergeCell ref="A1:B2"/>
  </mergeCells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9" sqref="E9"/>
    </sheetView>
  </sheetViews>
  <sheetFormatPr defaultRowHeight="12.75" x14ac:dyDescent="0.2"/>
  <cols>
    <col min="1" max="1" width="18.5" customWidth="1"/>
    <col min="3" max="3" width="5.33203125" customWidth="1"/>
  </cols>
  <sheetData>
    <row r="1" spans="1:6" x14ac:dyDescent="0.2">
      <c r="A1" s="48" t="s">
        <v>55</v>
      </c>
      <c r="B1" s="49"/>
    </row>
    <row r="2" spans="1:6" x14ac:dyDescent="0.2">
      <c r="A2" s="50"/>
      <c r="B2" s="51"/>
    </row>
    <row r="5" spans="1:6" x14ac:dyDescent="0.2">
      <c r="A5" s="25" t="s">
        <v>58</v>
      </c>
      <c r="D5" s="40" t="s">
        <v>56</v>
      </c>
      <c r="E5" s="41" t="s">
        <v>25</v>
      </c>
    </row>
    <row r="6" spans="1:6" x14ac:dyDescent="0.2">
      <c r="D6" s="42">
        <v>100</v>
      </c>
      <c r="E6" s="43" t="str">
        <f>IF(D6 &gt;= 70, "Pass", "Fail")</f>
        <v>Pass</v>
      </c>
      <c r="F6" s="25" t="s">
        <v>57</v>
      </c>
    </row>
    <row r="7" spans="1:6" x14ac:dyDescent="0.2">
      <c r="D7" s="42">
        <v>80</v>
      </c>
      <c r="E7" s="43" t="str">
        <f>IF(D7 &gt;= 70, "Pass", "Fail")</f>
        <v>Pass</v>
      </c>
    </row>
    <row r="8" spans="1:6" x14ac:dyDescent="0.2">
      <c r="D8" s="42">
        <v>50</v>
      </c>
      <c r="E8" s="43" t="str">
        <f>IF(D8 &gt;= 70, "Pass", "Fail")</f>
        <v>Fail</v>
      </c>
    </row>
    <row r="9" spans="1:6" x14ac:dyDescent="0.2">
      <c r="D9" s="42">
        <v>70</v>
      </c>
      <c r="E9" s="43" t="str">
        <f>IF(D9 &gt;= 70, "Pass", "Fail")</f>
        <v>Pass</v>
      </c>
    </row>
    <row r="10" spans="1:6" x14ac:dyDescent="0.2">
      <c r="D10" s="5">
        <v>71</v>
      </c>
      <c r="E10" s="44" t="str">
        <f>IF(D10 &gt;= 70, "Pass", "Fail")</f>
        <v>Pass</v>
      </c>
    </row>
  </sheetData>
  <mergeCells count="1">
    <mergeCell ref="A1:B2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7" sqref="E7"/>
    </sheetView>
  </sheetViews>
  <sheetFormatPr defaultRowHeight="12.75" x14ac:dyDescent="0.2"/>
  <cols>
    <col min="1" max="1" width="12.1640625" customWidth="1"/>
    <col min="2" max="2" width="47.1640625" customWidth="1"/>
    <col min="3" max="3" width="3.83203125" customWidth="1"/>
    <col min="4" max="4" width="14.6640625" customWidth="1"/>
    <col min="5" max="5" width="11.5" customWidth="1"/>
  </cols>
  <sheetData>
    <row r="1" spans="1:5" x14ac:dyDescent="0.2">
      <c r="A1" s="48" t="s">
        <v>7</v>
      </c>
      <c r="B1" s="49"/>
    </row>
    <row r="2" spans="1:5" x14ac:dyDescent="0.2">
      <c r="A2" s="50"/>
      <c r="B2" s="51"/>
    </row>
    <row r="3" spans="1:5" ht="8.25" customHeight="1" x14ac:dyDescent="0.2"/>
    <row r="4" spans="1:5" x14ac:dyDescent="0.2">
      <c r="B4" s="14" t="s">
        <v>8</v>
      </c>
    </row>
    <row r="5" spans="1:5" x14ac:dyDescent="0.2">
      <c r="A5" s="13" t="s">
        <v>19</v>
      </c>
      <c r="D5" s="19" t="s">
        <v>3</v>
      </c>
      <c r="E5" s="20">
        <v>9.5000000000000001E-2</v>
      </c>
    </row>
    <row r="6" spans="1:5" x14ac:dyDescent="0.2">
      <c r="A6" s="1" t="s">
        <v>9</v>
      </c>
      <c r="B6" s="1" t="s">
        <v>10</v>
      </c>
      <c r="D6" s="21" t="s">
        <v>4</v>
      </c>
      <c r="E6" s="22">
        <v>3</v>
      </c>
    </row>
    <row r="7" spans="1:5" x14ac:dyDescent="0.2">
      <c r="A7" s="15" t="s">
        <v>11</v>
      </c>
      <c r="B7" s="1" t="s">
        <v>18</v>
      </c>
      <c r="D7" s="21" t="s">
        <v>5</v>
      </c>
      <c r="E7" s="23">
        <v>6000</v>
      </c>
    </row>
    <row r="8" spans="1:5" ht="38.25" x14ac:dyDescent="0.2">
      <c r="A8" s="1" t="s">
        <v>12</v>
      </c>
      <c r="B8" s="1" t="s">
        <v>17</v>
      </c>
      <c r="D8" s="17" t="s">
        <v>6</v>
      </c>
      <c r="E8" s="18">
        <f>PMT(E5/12,E6*12,E7)</f>
        <v>-192.1976984446901</v>
      </c>
    </row>
    <row r="9" spans="1:5" ht="51" x14ac:dyDescent="0.2">
      <c r="A9" s="1" t="s">
        <v>13</v>
      </c>
      <c r="B9" s="1" t="s">
        <v>16</v>
      </c>
    </row>
    <row r="10" spans="1:5" ht="25.5" x14ac:dyDescent="0.2">
      <c r="A10" s="1" t="s">
        <v>14</v>
      </c>
      <c r="B10" s="1" t="s">
        <v>15</v>
      </c>
    </row>
    <row r="12" spans="1:5" x14ac:dyDescent="0.2">
      <c r="A12" s="1"/>
    </row>
    <row r="14" spans="1:5" x14ac:dyDescent="0.2">
      <c r="A14" s="1"/>
    </row>
  </sheetData>
  <mergeCells count="1">
    <mergeCell ref="A1:B2"/>
  </mergeCells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4"/>
  <sheetViews>
    <sheetView workbookViewId="0">
      <selection activeCell="C7" sqref="C7"/>
    </sheetView>
  </sheetViews>
  <sheetFormatPr defaultRowHeight="12.75" x14ac:dyDescent="0.2"/>
  <cols>
    <col min="4" max="4" width="10.5" bestFit="1" customWidth="1"/>
  </cols>
  <sheetData>
    <row r="4" spans="1:4" x14ac:dyDescent="0.2">
      <c r="B4" t="s">
        <v>65</v>
      </c>
    </row>
    <row r="6" spans="1:4" x14ac:dyDescent="0.2">
      <c r="B6">
        <v>2000</v>
      </c>
    </row>
    <row r="8" spans="1:4" x14ac:dyDescent="0.2">
      <c r="A8" t="s">
        <v>62</v>
      </c>
      <c r="B8">
        <f>0.06/12</f>
        <v>5.0000000000000001E-3</v>
      </c>
      <c r="D8" s="45"/>
    </row>
    <row r="9" spans="1:4" x14ac:dyDescent="0.2">
      <c r="A9" t="s">
        <v>63</v>
      </c>
      <c r="B9">
        <v>36</v>
      </c>
    </row>
    <row r="10" spans="1:4" x14ac:dyDescent="0.2">
      <c r="A10" t="s">
        <v>64</v>
      </c>
      <c r="B10">
        <v>100</v>
      </c>
    </row>
    <row r="12" spans="1:4" x14ac:dyDescent="0.2">
      <c r="A12" t="s">
        <v>62</v>
      </c>
      <c r="B12">
        <f>0.09/12</f>
        <v>7.4999999999999997E-3</v>
      </c>
      <c r="D12" s="45"/>
    </row>
    <row r="13" spans="1:4" x14ac:dyDescent="0.2">
      <c r="A13" t="s">
        <v>63</v>
      </c>
      <c r="B13">
        <v>36</v>
      </c>
    </row>
    <row r="14" spans="1:4" x14ac:dyDescent="0.2">
      <c r="A14" t="s">
        <v>64</v>
      </c>
      <c r="B14">
        <v>100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Date &amp; Time</vt:lpstr>
      <vt:lpstr>Math</vt:lpstr>
      <vt:lpstr>Text</vt:lpstr>
      <vt:lpstr>IF</vt:lpstr>
      <vt:lpstr>Payment</vt:lpstr>
      <vt:lpstr>function wizard practice</vt:lpstr>
    </vt:vector>
  </TitlesOfParts>
  <Company>William Penn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j.l. lehman</dc:creator>
  <cp:lastModifiedBy>Jeff Lehman</cp:lastModifiedBy>
  <dcterms:created xsi:type="dcterms:W3CDTF">1997-10-29T14:56:24Z</dcterms:created>
  <dcterms:modified xsi:type="dcterms:W3CDTF">2020-03-03T17:59:11Z</dcterms:modified>
</cp:coreProperties>
</file>